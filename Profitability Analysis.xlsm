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shala Prabhapoorna\Documents\VBA\Excel VBA for Creative Problem Solving - Part 3\Monte Carlo Simulation Project\"/>
    </mc:Choice>
  </mc:AlternateContent>
  <xr:revisionPtr revIDLastSave="0" documentId="13_ncr:1_{3DBF539C-2FDB-4B05-B863-BFF3524FA0A2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ain" sheetId="67" r:id="rId1"/>
    <sheet name="Histogram" sheetId="94" r:id="rId2"/>
    <sheet name="Histogram Data" sheetId="2" state="hidden" r:id="rId3"/>
  </sheets>
  <functionGroups builtInGroupCount="19"/>
  <definedNames>
    <definedName name="Cland" localSheetId="0">Main!$B$3</definedName>
    <definedName name="Cland">#REF!</definedName>
    <definedName name="COS" localSheetId="0">Main!$H$3</definedName>
    <definedName name="COS">#REF!</definedName>
    <definedName name="Croyal" localSheetId="0">Main!$B$4</definedName>
    <definedName name="Croyal">#REF!</definedName>
    <definedName name="Cstart" localSheetId="0">Main!$B$7</definedName>
    <definedName name="Cstart">#REF!</definedName>
    <definedName name="CTDC" localSheetId="0">Main!$B$5</definedName>
    <definedName name="CTDC">#REF!</definedName>
    <definedName name="i" localSheetId="0">Main!$H$4</definedName>
    <definedName name="i">#REF!</definedName>
    <definedName name="S" localSheetId="0">Main!$E$3</definedName>
    <definedName name="S">#REF!</definedName>
    <definedName name="tax" localSheetId="0">Main!$E$4</definedName>
    <definedName name="tax">#REF!</definedName>
    <definedName name="WC" localSheetId="0">Main!$B$6</definedName>
    <definedName name="W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67" l="1"/>
  <c r="I24" i="67"/>
  <c r="E24" i="67"/>
  <c r="C24" i="67"/>
  <c r="J23" i="67"/>
  <c r="I23" i="67"/>
  <c r="E23" i="67"/>
  <c r="J22" i="67"/>
  <c r="I22" i="67"/>
  <c r="E22" i="67"/>
  <c r="J21" i="67"/>
  <c r="I21" i="67"/>
  <c r="E21" i="67"/>
  <c r="J20" i="67"/>
  <c r="I20" i="67"/>
  <c r="E20" i="67"/>
  <c r="J19" i="67"/>
  <c r="I19" i="67"/>
  <c r="H19" i="67"/>
  <c r="E19" i="67"/>
  <c r="J18" i="67"/>
  <c r="I18" i="67"/>
  <c r="H18" i="67"/>
  <c r="E18" i="67"/>
  <c r="J17" i="67"/>
  <c r="I17" i="67"/>
  <c r="H17" i="67"/>
  <c r="E17" i="67"/>
  <c r="J16" i="67"/>
  <c r="I16" i="67"/>
  <c r="H16" i="67"/>
  <c r="E16" i="67"/>
  <c r="J15" i="67"/>
  <c r="I15" i="67"/>
  <c r="H15" i="67"/>
  <c r="E15" i="67"/>
  <c r="J14" i="67"/>
  <c r="I14" i="67"/>
  <c r="H14" i="67"/>
  <c r="E14" i="67"/>
  <c r="J13" i="67"/>
  <c r="I13" i="67"/>
  <c r="H13" i="67"/>
  <c r="E13" i="67"/>
  <c r="J12" i="67"/>
  <c r="I12" i="67"/>
  <c r="H12" i="67"/>
  <c r="E12" i="67"/>
  <c r="F11" i="67"/>
  <c r="C11" i="67"/>
  <c r="B11" i="67"/>
  <c r="D10" i="67"/>
  <c r="B10" i="67"/>
  <c r="K24" i="67" l="1"/>
  <c r="L24" i="67" s="1"/>
  <c r="M24" i="67" s="1"/>
  <c r="K20" i="67"/>
  <c r="L20" i="67" s="1"/>
  <c r="M20" i="67" s="1"/>
  <c r="K13" i="67"/>
  <c r="L13" i="67" s="1"/>
  <c r="M13" i="67" s="1"/>
  <c r="K16" i="67"/>
  <c r="L16" i="67" s="1"/>
  <c r="M16" i="67" s="1"/>
  <c r="K23" i="67"/>
  <c r="L23" i="67" s="1"/>
  <c r="M23" i="67" s="1"/>
  <c r="L11" i="67"/>
  <c r="M11" i="67" s="1"/>
  <c r="K15" i="67"/>
  <c r="L15" i="67" s="1"/>
  <c r="M15" i="67" s="1"/>
  <c r="K17" i="67"/>
  <c r="L17" i="67" s="1"/>
  <c r="M17" i="67" s="1"/>
  <c r="K19" i="67"/>
  <c r="L19" i="67" s="1"/>
  <c r="M19" i="67" s="1"/>
  <c r="K12" i="67"/>
  <c r="L12" i="67" s="1"/>
  <c r="M12" i="67" s="1"/>
  <c r="K21" i="67"/>
  <c r="L21" i="67" s="1"/>
  <c r="M21" i="67" s="1"/>
  <c r="K14" i="67"/>
  <c r="L14" i="67" s="1"/>
  <c r="M14" i="67" s="1"/>
  <c r="K18" i="67"/>
  <c r="L18" i="67" s="1"/>
  <c r="M18" i="67" s="1"/>
  <c r="K22" i="67"/>
  <c r="L22" i="67" s="1"/>
  <c r="M22" i="67" s="1"/>
  <c r="L10" i="67"/>
  <c r="M10" i="67" s="1"/>
  <c r="N10" i="67" s="1"/>
  <c r="N11" i="67" l="1"/>
  <c r="N12" i="67" s="1"/>
  <c r="N13" i="67" s="1"/>
  <c r="N14" i="67" s="1"/>
  <c r="N15" i="67" s="1"/>
  <c r="N16" i="67" s="1"/>
  <c r="N17" i="67" s="1"/>
  <c r="N18" i="67" s="1"/>
  <c r="N19" i="67" s="1"/>
  <c r="N20" i="67" s="1"/>
  <c r="N21" i="67" s="1"/>
  <c r="N22" i="67" s="1"/>
  <c r="N23" i="67" s="1"/>
  <c r="N24" i="67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<sst xmlns="http://schemas.openxmlformats.org/spreadsheetml/2006/main" count="28" uniqueCount="23">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</sst>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Data'!$A$1:$A$68</c:f>
              <c:numCache>
                <c:formatCode>General</c:formatCode>
                <c:ptCount val="68"/>
                <c:pt idx="0">
                  <c:v>-40.5</c:v>
                </c:pt>
                <c:pt idx="1">
                  <c:v>-37.5</c:v>
                </c:pt>
                <c:pt idx="2">
                  <c:v>-34.5</c:v>
                </c:pt>
                <c:pt idx="3">
                  <c:v>-31.5</c:v>
                </c:pt>
                <c:pt idx="4">
                  <c:v>-28.5</c:v>
                </c:pt>
                <c:pt idx="5">
                  <c:v>-25.5</c:v>
                </c:pt>
                <c:pt idx="6">
                  <c:v>-22.5</c:v>
                </c:pt>
                <c:pt idx="7">
                  <c:v>-19.5</c:v>
                </c:pt>
                <c:pt idx="8">
                  <c:v>-16.5</c:v>
                </c:pt>
                <c:pt idx="9">
                  <c:v>-13.5</c:v>
                </c:pt>
                <c:pt idx="10">
                  <c:v>-10.5</c:v>
                </c:pt>
                <c:pt idx="11">
                  <c:v>-7.5</c:v>
                </c:pt>
                <c:pt idx="12">
                  <c:v>-4.5</c:v>
                </c:pt>
                <c:pt idx="13">
                  <c:v>-1.5</c:v>
                </c:pt>
                <c:pt idx="14">
                  <c:v>1.5</c:v>
                </c:pt>
                <c:pt idx="15">
                  <c:v>4.5</c:v>
                </c:pt>
                <c:pt idx="16">
                  <c:v>7.5</c:v>
                </c:pt>
                <c:pt idx="17">
                  <c:v>10.5</c:v>
                </c:pt>
                <c:pt idx="18">
                  <c:v>13.5</c:v>
                </c:pt>
                <c:pt idx="19">
                  <c:v>16.5</c:v>
                </c:pt>
                <c:pt idx="20">
                  <c:v>19.5</c:v>
                </c:pt>
                <c:pt idx="21">
                  <c:v>22.5</c:v>
                </c:pt>
                <c:pt idx="22">
                  <c:v>25.5</c:v>
                </c:pt>
                <c:pt idx="23">
                  <c:v>28.5</c:v>
                </c:pt>
                <c:pt idx="24">
                  <c:v>31.5</c:v>
                </c:pt>
                <c:pt idx="25">
                  <c:v>34.5</c:v>
                </c:pt>
                <c:pt idx="26">
                  <c:v>37.5</c:v>
                </c:pt>
                <c:pt idx="27">
                  <c:v>40.5</c:v>
                </c:pt>
                <c:pt idx="28">
                  <c:v>43.5</c:v>
                </c:pt>
                <c:pt idx="29">
                  <c:v>46.5</c:v>
                </c:pt>
                <c:pt idx="30">
                  <c:v>49.5</c:v>
                </c:pt>
                <c:pt idx="31">
                  <c:v>52.5</c:v>
                </c:pt>
                <c:pt idx="32">
                  <c:v>55.5</c:v>
                </c:pt>
                <c:pt idx="33">
                  <c:v>58.5</c:v>
                </c:pt>
                <c:pt idx="34">
                  <c:v>61.5</c:v>
                </c:pt>
                <c:pt idx="35">
                  <c:v>64.5</c:v>
                </c:pt>
                <c:pt idx="36">
                  <c:v>67.5</c:v>
                </c:pt>
                <c:pt idx="37">
                  <c:v>70.5</c:v>
                </c:pt>
                <c:pt idx="38">
                  <c:v>73.5</c:v>
                </c:pt>
                <c:pt idx="39">
                  <c:v>76.5</c:v>
                </c:pt>
                <c:pt idx="40">
                  <c:v>79.5</c:v>
                </c:pt>
                <c:pt idx="41">
                  <c:v>82.5</c:v>
                </c:pt>
                <c:pt idx="42">
                  <c:v>85.5</c:v>
                </c:pt>
                <c:pt idx="43">
                  <c:v>88.5</c:v>
                </c:pt>
                <c:pt idx="44">
                  <c:v>91.5</c:v>
                </c:pt>
                <c:pt idx="45">
                  <c:v>94.5</c:v>
                </c:pt>
                <c:pt idx="46">
                  <c:v>97.5</c:v>
                </c:pt>
                <c:pt idx="47">
                  <c:v>100.5</c:v>
                </c:pt>
                <c:pt idx="48">
                  <c:v>103.5</c:v>
                </c:pt>
                <c:pt idx="49">
                  <c:v>106.5</c:v>
                </c:pt>
                <c:pt idx="50">
                  <c:v>109.5</c:v>
                </c:pt>
                <c:pt idx="51">
                  <c:v>112.5</c:v>
                </c:pt>
                <c:pt idx="52">
                  <c:v>115.5</c:v>
                </c:pt>
                <c:pt idx="53">
                  <c:v>118.5</c:v>
                </c:pt>
                <c:pt idx="54">
                  <c:v>121.5</c:v>
                </c:pt>
                <c:pt idx="55">
                  <c:v>124.5</c:v>
                </c:pt>
                <c:pt idx="56">
                  <c:v>127.5</c:v>
                </c:pt>
                <c:pt idx="57">
                  <c:v>130.5</c:v>
                </c:pt>
                <c:pt idx="58">
                  <c:v>133.5</c:v>
                </c:pt>
                <c:pt idx="59">
                  <c:v>136.5</c:v>
                </c:pt>
                <c:pt idx="60">
                  <c:v>139.5</c:v>
                </c:pt>
                <c:pt idx="61">
                  <c:v>142.5</c:v>
                </c:pt>
                <c:pt idx="62">
                  <c:v>145.5</c:v>
                </c:pt>
                <c:pt idx="63">
                  <c:v>148.5</c:v>
                </c:pt>
                <c:pt idx="64">
                  <c:v>151.5</c:v>
                </c:pt>
                <c:pt idx="65">
                  <c:v>154.5</c:v>
                </c:pt>
                <c:pt idx="66">
                  <c:v>157.5</c:v>
                </c:pt>
                <c:pt idx="67">
                  <c:v>160.5</c:v>
                </c:pt>
              </c:numCache>
            </c:numRef>
          </c:cat>
          <c:val>
            <c:numRef>
              <c:f>'Histogram Data'!$B$1:$B$68</c:f>
              <c:numCache>
                <c:formatCode>General</c:formatCode>
                <c:ptCount val="68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18</c:v>
                </c:pt>
                <c:pt idx="5">
                  <c:v>15</c:v>
                </c:pt>
                <c:pt idx="6">
                  <c:v>23</c:v>
                </c:pt>
                <c:pt idx="7">
                  <c:v>45</c:v>
                </c:pt>
                <c:pt idx="8">
                  <c:v>49</c:v>
                </c:pt>
                <c:pt idx="9">
                  <c:v>67</c:v>
                </c:pt>
                <c:pt idx="10">
                  <c:v>79</c:v>
                </c:pt>
                <c:pt idx="11">
                  <c:v>92</c:v>
                </c:pt>
                <c:pt idx="12">
                  <c:v>97</c:v>
                </c:pt>
                <c:pt idx="13">
                  <c:v>140</c:v>
                </c:pt>
                <c:pt idx="14">
                  <c:v>142</c:v>
                </c:pt>
                <c:pt idx="15">
                  <c:v>172</c:v>
                </c:pt>
                <c:pt idx="16">
                  <c:v>203</c:v>
                </c:pt>
                <c:pt idx="17">
                  <c:v>207</c:v>
                </c:pt>
                <c:pt idx="18">
                  <c:v>247</c:v>
                </c:pt>
                <c:pt idx="19">
                  <c:v>247</c:v>
                </c:pt>
                <c:pt idx="20">
                  <c:v>310</c:v>
                </c:pt>
                <c:pt idx="21">
                  <c:v>296</c:v>
                </c:pt>
                <c:pt idx="22">
                  <c:v>348</c:v>
                </c:pt>
                <c:pt idx="23">
                  <c:v>367</c:v>
                </c:pt>
                <c:pt idx="24">
                  <c:v>380</c:v>
                </c:pt>
                <c:pt idx="25">
                  <c:v>385</c:v>
                </c:pt>
                <c:pt idx="26">
                  <c:v>372</c:v>
                </c:pt>
                <c:pt idx="27">
                  <c:v>393</c:v>
                </c:pt>
                <c:pt idx="28">
                  <c:v>404</c:v>
                </c:pt>
                <c:pt idx="29">
                  <c:v>389</c:v>
                </c:pt>
                <c:pt idx="30">
                  <c:v>390</c:v>
                </c:pt>
                <c:pt idx="31">
                  <c:v>357</c:v>
                </c:pt>
                <c:pt idx="32">
                  <c:v>322</c:v>
                </c:pt>
                <c:pt idx="33">
                  <c:v>331</c:v>
                </c:pt>
                <c:pt idx="34">
                  <c:v>313</c:v>
                </c:pt>
                <c:pt idx="35">
                  <c:v>303</c:v>
                </c:pt>
                <c:pt idx="36">
                  <c:v>292</c:v>
                </c:pt>
                <c:pt idx="37">
                  <c:v>254</c:v>
                </c:pt>
                <c:pt idx="38">
                  <c:v>247</c:v>
                </c:pt>
                <c:pt idx="39">
                  <c:v>206</c:v>
                </c:pt>
                <c:pt idx="40">
                  <c:v>212</c:v>
                </c:pt>
                <c:pt idx="41">
                  <c:v>195</c:v>
                </c:pt>
                <c:pt idx="42">
                  <c:v>164</c:v>
                </c:pt>
                <c:pt idx="43">
                  <c:v>163</c:v>
                </c:pt>
                <c:pt idx="44">
                  <c:v>114</c:v>
                </c:pt>
                <c:pt idx="45">
                  <c:v>106</c:v>
                </c:pt>
                <c:pt idx="46">
                  <c:v>96</c:v>
                </c:pt>
                <c:pt idx="47">
                  <c:v>73</c:v>
                </c:pt>
                <c:pt idx="48">
                  <c:v>70</c:v>
                </c:pt>
                <c:pt idx="49">
                  <c:v>54</c:v>
                </c:pt>
                <c:pt idx="50">
                  <c:v>45</c:v>
                </c:pt>
                <c:pt idx="51">
                  <c:v>34</c:v>
                </c:pt>
                <c:pt idx="52">
                  <c:v>40</c:v>
                </c:pt>
                <c:pt idx="53">
                  <c:v>27</c:v>
                </c:pt>
                <c:pt idx="54">
                  <c:v>15</c:v>
                </c:pt>
                <c:pt idx="55">
                  <c:v>17</c:v>
                </c:pt>
                <c:pt idx="56">
                  <c:v>12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0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9-4159-81E9-6362E5F92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833968"/>
        <c:axId val="523837328"/>
      </c:barChart>
      <c:catAx>
        <c:axId val="52383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37328"/>
        <c:crosses val="autoZero"/>
        <c:auto val="1"/>
        <c:lblAlgn val="ctr"/>
        <c:lblOffset val="100"/>
        <c:noMultiLvlLbl val="0"/>
      </c:catAx>
      <c:valAx>
        <c:axId val="5238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3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787C25-1A52-45E2-8CB3-B29394E85ED7}">
  <sheetPr codeName="Chart1"/>
  <sheetViews>
    <sheetView zoomScale="6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2935" cy="6308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DE9A2C-EB7B-0467-CEBE-DF68397FEA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1361-CDD2-4A29-908F-4B98D610620A}">
  <sheetPr codeName="Sheet10"/>
  <dimension ref="A1:P27"/>
  <sheetViews>
    <sheetView tabSelected="1" topLeftCell="A7" zoomScaleNormal="100" workbookViewId="0">
      <selection activeCell="E28" sqref="E28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4">
        <v>-5</v>
      </c>
      <c r="D3" t="s">
        <v>2</v>
      </c>
      <c r="E3" s="13">
        <v>53.635798826203242</v>
      </c>
      <c r="G3" t="s">
        <v>3</v>
      </c>
      <c r="H3" s="4">
        <v>-7.2156818364890691</v>
      </c>
    </row>
    <row r="4" spans="1:16" ht="15.75" thickBot="1" x14ac:dyDescent="0.3">
      <c r="A4" t="s">
        <v>4</v>
      </c>
      <c r="B4" s="5">
        <v>-3.1181004128556973</v>
      </c>
      <c r="D4" t="s">
        <v>5</v>
      </c>
      <c r="E4" s="6">
        <v>0.4</v>
      </c>
      <c r="G4" t="s">
        <v>6</v>
      </c>
      <c r="H4" s="7">
        <v>0.12223231315612793</v>
      </c>
    </row>
    <row r="5" spans="1:16" x14ac:dyDescent="0.25">
      <c r="A5" t="s">
        <v>7</v>
      </c>
      <c r="B5" s="8">
        <v>-125.40243627013692</v>
      </c>
    </row>
    <row r="6" spans="1:16" x14ac:dyDescent="0.25">
      <c r="A6" t="s">
        <v>8</v>
      </c>
      <c r="B6" s="8">
        <v>-23.310800790786743</v>
      </c>
      <c r="E6" t="s">
        <v>9</v>
      </c>
    </row>
    <row r="7" spans="1:16" ht="15.75" thickBot="1" x14ac:dyDescent="0.3">
      <c r="A7" t="s">
        <v>10</v>
      </c>
      <c r="B7" s="12">
        <v>-12.443113879356536</v>
      </c>
      <c r="E7" t="s">
        <v>11</v>
      </c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9">
        <f>0.5*CTDC</f>
        <v>-62.701218135068459</v>
      </c>
      <c r="C10" s="9"/>
      <c r="D10" s="9">
        <f>Cland</f>
        <v>-5</v>
      </c>
      <c r="E10" s="9"/>
      <c r="F10" s="9"/>
      <c r="G10" s="9"/>
      <c r="H10" s="9"/>
      <c r="I10" s="9"/>
      <c r="J10" s="9"/>
      <c r="L10">
        <f>B10+D10</f>
        <v>-67.701218135068459</v>
      </c>
      <c r="M10" s="9">
        <f t="shared" ref="M10:M24" si="0">L10/(1+i)^(A10-1)</f>
        <v>-67.701218135068459</v>
      </c>
      <c r="N10" s="9">
        <f>M10</f>
        <v>-67.701218135068459</v>
      </c>
    </row>
    <row r="11" spans="1:16" x14ac:dyDescent="0.25">
      <c r="A11">
        <v>2</v>
      </c>
      <c r="B11" s="9">
        <f>0.5*CTDC</f>
        <v>-62.701218135068459</v>
      </c>
      <c r="C11" s="9">
        <f>WC</f>
        <v>-23.310800790786743</v>
      </c>
      <c r="D11" s="9"/>
      <c r="E11" s="9"/>
      <c r="F11" s="9">
        <f>Cstart</f>
        <v>-12.443113879356536</v>
      </c>
      <c r="G11" s="9"/>
      <c r="H11" s="9"/>
      <c r="I11" s="9"/>
      <c r="J11" s="9"/>
      <c r="L11">
        <f>B11+C11+F11</f>
        <v>-98.455132805211733</v>
      </c>
      <c r="M11" s="9">
        <f t="shared" si="0"/>
        <v>-87.73150768428674</v>
      </c>
      <c r="N11" s="9">
        <f>N10+M11</f>
        <v>-155.4327258193552</v>
      </c>
    </row>
    <row r="12" spans="1:16" x14ac:dyDescent="0.25">
      <c r="A12">
        <v>3</v>
      </c>
      <c r="B12" s="9"/>
      <c r="C12" s="9"/>
      <c r="D12" s="9"/>
      <c r="E12" s="9">
        <f t="shared" ref="E12:E24" si="1">Croyal</f>
        <v>-3.1181004128556973</v>
      </c>
      <c r="F12" s="9"/>
      <c r="G12" s="9"/>
      <c r="H12" s="9">
        <f>P12*-CTDC</f>
        <v>17.920008143002566</v>
      </c>
      <c r="I12" s="9">
        <f>0.5*S</f>
        <v>26.817899413101621</v>
      </c>
      <c r="J12" s="9">
        <f>0.5*COS</f>
        <v>-3.6078409182445346</v>
      </c>
      <c r="K12" s="9">
        <f>(1-tax)*(I12-J12-H12)</f>
        <v>7.5034393130061536</v>
      </c>
      <c r="L12" s="9">
        <f t="shared" ref="L12:L23" si="2">K12+H12+E12</f>
        <v>22.305347043153024</v>
      </c>
      <c r="M12" s="9">
        <f t="shared" si="0"/>
        <v>17.711014791978734</v>
      </c>
      <c r="N12" s="9">
        <f t="shared" ref="N12:N23" si="3">N11+M12</f>
        <v>-137.72171102737647</v>
      </c>
      <c r="P12" s="10">
        <v>0.1429</v>
      </c>
    </row>
    <row r="13" spans="1:16" x14ac:dyDescent="0.25">
      <c r="A13">
        <v>4</v>
      </c>
      <c r="B13" s="9"/>
      <c r="C13" s="9"/>
      <c r="D13" s="9"/>
      <c r="E13" s="9">
        <f t="shared" si="1"/>
        <v>-3.1181004128556973</v>
      </c>
      <c r="F13" s="9"/>
      <c r="G13" s="9"/>
      <c r="H13" s="9">
        <f t="shared" ref="H13:H19" si="4">P13*-CTDC</f>
        <v>30.711056642556532</v>
      </c>
      <c r="I13" s="9">
        <f>0.8*S</f>
        <v>42.908639060962599</v>
      </c>
      <c r="J13" s="9">
        <f>0.8*COS</f>
        <v>-5.7725454691912557</v>
      </c>
      <c r="K13" s="9">
        <f t="shared" ref="K13:K24" si="5">(1-tax)*(I13-J13-H13)</f>
        <v>10.782076732558394</v>
      </c>
      <c r="L13" s="9">
        <f t="shared" si="2"/>
        <v>38.375032962259226</v>
      </c>
      <c r="M13" s="9">
        <f t="shared" si="0"/>
        <v>27.15191423215061</v>
      </c>
      <c r="N13" s="9">
        <f t="shared" si="3"/>
        <v>-110.56979679522587</v>
      </c>
      <c r="P13" s="10">
        <v>0.24490000000000001</v>
      </c>
    </row>
    <row r="14" spans="1:16" x14ac:dyDescent="0.25">
      <c r="A14">
        <v>5</v>
      </c>
      <c r="B14" s="9"/>
      <c r="C14" s="9"/>
      <c r="D14" s="9"/>
      <c r="E14" s="9">
        <f t="shared" si="1"/>
        <v>-3.1181004128556973</v>
      </c>
      <c r="F14" s="9"/>
      <c r="G14" s="9"/>
      <c r="H14" s="9">
        <f t="shared" si="4"/>
        <v>21.932886103646947</v>
      </c>
      <c r="I14" s="9">
        <f t="shared" ref="I14:I24" si="6">S</f>
        <v>53.635798826203242</v>
      </c>
      <c r="J14" s="9">
        <f t="shared" ref="J14:J24" si="7">COS</f>
        <v>-7.2156818364890691</v>
      </c>
      <c r="K14" s="9">
        <f t="shared" si="5"/>
        <v>23.351156735427214</v>
      </c>
      <c r="L14" s="9">
        <f t="shared" si="2"/>
        <v>42.165942426218464</v>
      </c>
      <c r="M14" s="9">
        <f t="shared" si="0"/>
        <v>26.584636935530757</v>
      </c>
      <c r="N14" s="9">
        <f t="shared" si="3"/>
        <v>-83.985159859695116</v>
      </c>
      <c r="P14" s="10">
        <v>0.1749</v>
      </c>
    </row>
    <row r="15" spans="1:16" x14ac:dyDescent="0.25">
      <c r="A15">
        <v>6</v>
      </c>
      <c r="B15" s="9"/>
      <c r="C15" s="9"/>
      <c r="D15" s="9"/>
      <c r="E15" s="9">
        <f t="shared" si="1"/>
        <v>-3.1181004128556973</v>
      </c>
      <c r="F15" s="9"/>
      <c r="G15" s="9"/>
      <c r="H15" s="9">
        <f t="shared" si="4"/>
        <v>15.662764290140101</v>
      </c>
      <c r="I15" s="9">
        <f t="shared" si="6"/>
        <v>53.635798826203242</v>
      </c>
      <c r="J15" s="9">
        <f t="shared" si="7"/>
        <v>-7.2156818364890691</v>
      </c>
      <c r="K15" s="9">
        <f t="shared" si="5"/>
        <v>27.113229823531324</v>
      </c>
      <c r="L15" s="9">
        <f t="shared" si="2"/>
        <v>39.657893700815727</v>
      </c>
      <c r="M15" s="9">
        <f t="shared" si="0"/>
        <v>22.280031320301106</v>
      </c>
      <c r="N15" s="9">
        <f t="shared" si="3"/>
        <v>-61.705128539394011</v>
      </c>
      <c r="P15" s="10">
        <v>0.1249</v>
      </c>
    </row>
    <row r="16" spans="1:16" x14ac:dyDescent="0.25">
      <c r="A16">
        <v>7</v>
      </c>
      <c r="B16" s="9"/>
      <c r="C16" s="9"/>
      <c r="D16" s="9"/>
      <c r="E16" s="9">
        <f t="shared" si="1"/>
        <v>-3.1181004128556973</v>
      </c>
      <c r="F16" s="9"/>
      <c r="G16" s="9"/>
      <c r="H16" s="9">
        <f t="shared" si="4"/>
        <v>11.198437558923228</v>
      </c>
      <c r="I16" s="9">
        <f t="shared" si="6"/>
        <v>53.635798826203242</v>
      </c>
      <c r="J16" s="9">
        <f t="shared" si="7"/>
        <v>-7.2156818364890691</v>
      </c>
      <c r="K16" s="9">
        <f t="shared" si="5"/>
        <v>29.791825862261447</v>
      </c>
      <c r="L16" s="9">
        <f t="shared" si="2"/>
        <v>37.872163008328982</v>
      </c>
      <c r="M16" s="9">
        <f t="shared" si="0"/>
        <v>18.959352143611646</v>
      </c>
      <c r="N16" s="9">
        <f t="shared" si="3"/>
        <v>-42.745776395782364</v>
      </c>
      <c r="P16" s="10">
        <v>8.9300000000000004E-2</v>
      </c>
    </row>
    <row r="17" spans="1:16" x14ac:dyDescent="0.25">
      <c r="A17">
        <v>8</v>
      </c>
      <c r="B17" s="9"/>
      <c r="C17" s="9"/>
      <c r="D17" s="9"/>
      <c r="E17" s="9">
        <f t="shared" si="1"/>
        <v>-3.1181004128556973</v>
      </c>
      <c r="F17" s="9"/>
      <c r="G17" s="9"/>
      <c r="H17" s="9">
        <f t="shared" si="4"/>
        <v>11.185897315296213</v>
      </c>
      <c r="I17" s="9">
        <f t="shared" si="6"/>
        <v>53.635798826203242</v>
      </c>
      <c r="J17" s="9">
        <f t="shared" si="7"/>
        <v>-7.2156818364890691</v>
      </c>
      <c r="K17" s="9">
        <f t="shared" si="5"/>
        <v>29.799350008437656</v>
      </c>
      <c r="L17" s="9">
        <f t="shared" si="2"/>
        <v>37.867146910878176</v>
      </c>
      <c r="M17" s="9">
        <f t="shared" si="0"/>
        <v>16.892082673524001</v>
      </c>
      <c r="N17" s="9">
        <f t="shared" si="3"/>
        <v>-25.853693722258363</v>
      </c>
      <c r="P17" s="10">
        <v>8.9200000000000002E-2</v>
      </c>
    </row>
    <row r="18" spans="1:16" x14ac:dyDescent="0.25">
      <c r="A18">
        <v>9</v>
      </c>
      <c r="B18" s="9"/>
      <c r="C18" s="9"/>
      <c r="D18" s="9"/>
      <c r="E18" s="9">
        <f t="shared" si="1"/>
        <v>-3.1181004128556973</v>
      </c>
      <c r="F18" s="9"/>
      <c r="G18" s="9"/>
      <c r="H18" s="9">
        <f t="shared" si="4"/>
        <v>11.198437558923228</v>
      </c>
      <c r="I18" s="9">
        <f t="shared" si="6"/>
        <v>53.635798826203242</v>
      </c>
      <c r="J18" s="9">
        <f t="shared" si="7"/>
        <v>-7.2156818364890691</v>
      </c>
      <c r="K18" s="9">
        <f t="shared" si="5"/>
        <v>29.791825862261447</v>
      </c>
      <c r="L18" s="9">
        <f t="shared" si="2"/>
        <v>37.872163008328982</v>
      </c>
      <c r="M18" s="9">
        <f t="shared" si="0"/>
        <v>15.054209450864176</v>
      </c>
      <c r="N18" s="9">
        <f t="shared" si="3"/>
        <v>-10.799484271394187</v>
      </c>
      <c r="P18" s="10">
        <v>8.9300000000000004E-2</v>
      </c>
    </row>
    <row r="19" spans="1:16" x14ac:dyDescent="0.25">
      <c r="A19">
        <v>10</v>
      </c>
      <c r="B19" s="9"/>
      <c r="C19" s="9"/>
      <c r="D19" s="9"/>
      <c r="E19" s="9">
        <f t="shared" si="1"/>
        <v>-3.1181004128556973</v>
      </c>
      <c r="F19" s="9"/>
      <c r="G19" s="9"/>
      <c r="H19" s="9">
        <f t="shared" si="4"/>
        <v>5.5929486576481064</v>
      </c>
      <c r="I19" s="9">
        <f t="shared" si="6"/>
        <v>53.635798826203242</v>
      </c>
      <c r="J19" s="9">
        <f t="shared" si="7"/>
        <v>-7.2156818364890691</v>
      </c>
      <c r="K19" s="9">
        <f t="shared" si="5"/>
        <v>33.155119203026523</v>
      </c>
      <c r="L19" s="9">
        <f t="shared" si="2"/>
        <v>35.629967447818935</v>
      </c>
      <c r="M19" s="9">
        <f t="shared" si="0"/>
        <v>12.620323875761933</v>
      </c>
      <c r="N19" s="9">
        <f t="shared" si="3"/>
        <v>1.8208396043677464</v>
      </c>
      <c r="P19" s="10">
        <v>4.4600000000000001E-2</v>
      </c>
    </row>
    <row r="20" spans="1:16" x14ac:dyDescent="0.25">
      <c r="A20">
        <v>11</v>
      </c>
      <c r="B20" s="9"/>
      <c r="C20" s="9"/>
      <c r="D20" s="9"/>
      <c r="E20" s="9">
        <f t="shared" si="1"/>
        <v>-3.1181004128556973</v>
      </c>
      <c r="F20" s="9"/>
      <c r="G20" s="9"/>
      <c r="H20" s="9"/>
      <c r="I20" s="9">
        <f t="shared" si="6"/>
        <v>53.635798826203242</v>
      </c>
      <c r="J20" s="9">
        <f t="shared" si="7"/>
        <v>-7.2156818364890691</v>
      </c>
      <c r="K20" s="9">
        <f t="shared" si="5"/>
        <v>36.510888397615382</v>
      </c>
      <c r="L20" s="9">
        <f t="shared" si="2"/>
        <v>33.392787984759686</v>
      </c>
      <c r="M20" s="9">
        <f t="shared" si="0"/>
        <v>10.539620788528623</v>
      </c>
      <c r="N20" s="9">
        <f t="shared" si="3"/>
        <v>12.360460392896369</v>
      </c>
    </row>
    <row r="21" spans="1:16" x14ac:dyDescent="0.25">
      <c r="A21">
        <v>12</v>
      </c>
      <c r="B21" s="9"/>
      <c r="C21" s="9"/>
      <c r="D21" s="9"/>
      <c r="E21" s="9">
        <f t="shared" si="1"/>
        <v>-3.1181004128556973</v>
      </c>
      <c r="F21" s="9"/>
      <c r="G21" s="9"/>
      <c r="H21" s="9"/>
      <c r="I21" s="9">
        <f t="shared" si="6"/>
        <v>53.635798826203242</v>
      </c>
      <c r="J21" s="9">
        <f t="shared" si="7"/>
        <v>-7.2156818364890691</v>
      </c>
      <c r="K21" s="9">
        <f t="shared" si="5"/>
        <v>36.510888397615382</v>
      </c>
      <c r="L21" s="9">
        <f t="shared" si="2"/>
        <v>33.392787984759686</v>
      </c>
      <c r="M21" s="9">
        <f t="shared" si="0"/>
        <v>9.3916568476694025</v>
      </c>
      <c r="N21" s="9">
        <f t="shared" si="3"/>
        <v>21.752117240565774</v>
      </c>
    </row>
    <row r="22" spans="1:16" x14ac:dyDescent="0.25">
      <c r="A22">
        <v>13</v>
      </c>
      <c r="B22" s="9"/>
      <c r="C22" s="9"/>
      <c r="D22" s="9"/>
      <c r="E22" s="9">
        <f t="shared" si="1"/>
        <v>-3.1181004128556973</v>
      </c>
      <c r="F22" s="9"/>
      <c r="G22" s="9"/>
      <c r="H22" s="9"/>
      <c r="I22" s="9">
        <f t="shared" si="6"/>
        <v>53.635798826203242</v>
      </c>
      <c r="J22" s="9">
        <f t="shared" si="7"/>
        <v>-7.2156818364890691</v>
      </c>
      <c r="K22" s="9">
        <f t="shared" si="5"/>
        <v>36.510888397615382</v>
      </c>
      <c r="L22" s="9">
        <f t="shared" si="2"/>
        <v>33.392787984759686</v>
      </c>
      <c r="M22" s="9">
        <f t="shared" si="0"/>
        <v>8.3687278806440943</v>
      </c>
      <c r="N22" s="9">
        <f t="shared" si="3"/>
        <v>30.120845121209868</v>
      </c>
    </row>
    <row r="23" spans="1:16" ht="15.75" thickBot="1" x14ac:dyDescent="0.3">
      <c r="A23">
        <v>14</v>
      </c>
      <c r="B23" s="9"/>
      <c r="C23" s="9"/>
      <c r="D23" s="9"/>
      <c r="E23" s="9">
        <f t="shared" si="1"/>
        <v>-3.1181004128556973</v>
      </c>
      <c r="F23" s="9"/>
      <c r="G23" s="9"/>
      <c r="H23" s="9"/>
      <c r="I23" s="9">
        <f t="shared" si="6"/>
        <v>53.635798826203242</v>
      </c>
      <c r="J23" s="9">
        <f t="shared" si="7"/>
        <v>-7.2156818364890691</v>
      </c>
      <c r="K23" s="9">
        <f t="shared" si="5"/>
        <v>36.510888397615382</v>
      </c>
      <c r="L23" s="9">
        <f t="shared" si="2"/>
        <v>33.392787984759686</v>
      </c>
      <c r="M23" s="9">
        <f t="shared" si="0"/>
        <v>7.4572152151885263</v>
      </c>
      <c r="N23" s="9">
        <f t="shared" si="3"/>
        <v>37.578060336398394</v>
      </c>
    </row>
    <row r="24" spans="1:16" ht="15.75" thickBot="1" x14ac:dyDescent="0.3">
      <c r="A24">
        <v>15</v>
      </c>
      <c r="B24" s="9"/>
      <c r="C24" s="9">
        <f>-WC</f>
        <v>23.310800790786743</v>
      </c>
      <c r="D24" s="9"/>
      <c r="E24" s="9">
        <f t="shared" si="1"/>
        <v>-3.1181004128556973</v>
      </c>
      <c r="F24" s="9"/>
      <c r="G24" s="9"/>
      <c r="H24" s="9"/>
      <c r="I24" s="9">
        <f t="shared" si="6"/>
        <v>53.635798826203242</v>
      </c>
      <c r="J24" s="9">
        <f t="shared" si="7"/>
        <v>-7.2156818364890691</v>
      </c>
      <c r="K24" s="9">
        <f t="shared" si="5"/>
        <v>36.510888397615382</v>
      </c>
      <c r="L24" s="9">
        <f>C24+K24+G24+E24</f>
        <v>56.703588775546429</v>
      </c>
      <c r="M24" s="9">
        <f t="shared" si="0"/>
        <v>11.283706306196249</v>
      </c>
      <c r="N24" s="11">
        <f>N23+M24</f>
        <v>48.861766642594645</v>
      </c>
    </row>
    <row r="25" spans="1:16" x14ac:dyDescent="0.25">
      <c r="C25" s="3"/>
      <c r="D25" s="2"/>
      <c r="E25" s="1"/>
      <c r="F25" s="2"/>
      <c r="G25" s="1"/>
      <c r="H25" s="1"/>
    </row>
    <row r="26" spans="1:16" x14ac:dyDescent="0.25">
      <c r="C26" s="3"/>
      <c r="D26" s="2"/>
      <c r="E26" s="1"/>
      <c r="F26" s="2"/>
      <c r="G26" s="1"/>
      <c r="H26" s="1"/>
    </row>
    <row r="27" spans="1:16" x14ac:dyDescent="0.25">
      <c r="C27" s="3"/>
      <c r="D27" s="2"/>
      <c r="E27" s="1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RunSimulatio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68"/>
  <sheetViews>
    <sheetView workbookViewId="0">
      <selection sqref="A1:B68"/>
    </sheetView>
  </sheetViews>
  <sheetFormatPr defaultRowHeight="15" x14ac:dyDescent="0.25"/>
  <sheetData>
    <row r="1" spans="1:2" x14ac:dyDescent="0.25">
      <c r="A1">
        <v>-40.5</v>
      </c>
      <c r="B1">
        <v>1</v>
      </c>
    </row>
    <row r="2" spans="1:2" x14ac:dyDescent="0.25">
      <c r="A2">
        <v>-37.5</v>
      </c>
      <c r="B2">
        <v>4</v>
      </c>
    </row>
    <row r="3" spans="1:2" x14ac:dyDescent="0.25">
      <c r="A3">
        <v>-34.5</v>
      </c>
      <c r="B3">
        <v>9</v>
      </c>
    </row>
    <row r="4" spans="1:2" x14ac:dyDescent="0.25">
      <c r="A4">
        <v>-31.5</v>
      </c>
      <c r="B4">
        <v>16</v>
      </c>
    </row>
    <row r="5" spans="1:2" x14ac:dyDescent="0.25">
      <c r="A5">
        <v>-28.5</v>
      </c>
      <c r="B5">
        <v>18</v>
      </c>
    </row>
    <row r="6" spans="1:2" x14ac:dyDescent="0.25">
      <c r="A6">
        <v>-25.5</v>
      </c>
      <c r="B6">
        <v>15</v>
      </c>
    </row>
    <row r="7" spans="1:2" x14ac:dyDescent="0.25">
      <c r="A7">
        <v>-22.5</v>
      </c>
      <c r="B7">
        <v>23</v>
      </c>
    </row>
    <row r="8" spans="1:2" x14ac:dyDescent="0.25">
      <c r="A8">
        <v>-19.5</v>
      </c>
      <c r="B8">
        <v>45</v>
      </c>
    </row>
    <row r="9" spans="1:2" x14ac:dyDescent="0.25">
      <c r="A9">
        <v>-16.5</v>
      </c>
      <c r="B9">
        <v>49</v>
      </c>
    </row>
    <row r="10" spans="1:2" x14ac:dyDescent="0.25">
      <c r="A10">
        <v>-13.5</v>
      </c>
      <c r="B10">
        <v>67</v>
      </c>
    </row>
    <row r="11" spans="1:2" x14ac:dyDescent="0.25">
      <c r="A11">
        <v>-10.5</v>
      </c>
      <c r="B11">
        <v>79</v>
      </c>
    </row>
    <row r="12" spans="1:2" x14ac:dyDescent="0.25">
      <c r="A12">
        <v>-7.5</v>
      </c>
      <c r="B12">
        <v>92</v>
      </c>
    </row>
    <row r="13" spans="1:2" x14ac:dyDescent="0.25">
      <c r="A13">
        <v>-4.5</v>
      </c>
      <c r="B13">
        <v>97</v>
      </c>
    </row>
    <row r="14" spans="1:2" x14ac:dyDescent="0.25">
      <c r="A14">
        <v>-1.5</v>
      </c>
      <c r="B14">
        <v>140</v>
      </c>
    </row>
    <row r="15" spans="1:2" x14ac:dyDescent="0.25">
      <c r="A15">
        <v>1.5</v>
      </c>
      <c r="B15">
        <v>142</v>
      </c>
    </row>
    <row r="16" spans="1:2" x14ac:dyDescent="0.25">
      <c r="A16">
        <v>4.5</v>
      </c>
      <c r="B16">
        <v>172</v>
      </c>
    </row>
    <row r="17" spans="1:2" x14ac:dyDescent="0.25">
      <c r="A17">
        <v>7.5</v>
      </c>
      <c r="B17">
        <v>203</v>
      </c>
    </row>
    <row r="18" spans="1:2" x14ac:dyDescent="0.25">
      <c r="A18">
        <v>10.5</v>
      </c>
      <c r="B18">
        <v>207</v>
      </c>
    </row>
    <row r="19" spans="1:2" x14ac:dyDescent="0.25">
      <c r="A19">
        <v>13.5</v>
      </c>
      <c r="B19">
        <v>247</v>
      </c>
    </row>
    <row r="20" spans="1:2" x14ac:dyDescent="0.25">
      <c r="A20">
        <v>16.5</v>
      </c>
      <c r="B20">
        <v>247</v>
      </c>
    </row>
    <row r="21" spans="1:2" x14ac:dyDescent="0.25">
      <c r="A21">
        <v>19.5</v>
      </c>
      <c r="B21">
        <v>310</v>
      </c>
    </row>
    <row r="22" spans="1:2" x14ac:dyDescent="0.25">
      <c r="A22">
        <v>22.5</v>
      </c>
      <c r="B22">
        <v>296</v>
      </c>
    </row>
    <row r="23" spans="1:2" x14ac:dyDescent="0.25">
      <c r="A23">
        <v>25.5</v>
      </c>
      <c r="B23">
        <v>348</v>
      </c>
    </row>
    <row r="24" spans="1:2" x14ac:dyDescent="0.25">
      <c r="A24">
        <v>28.5</v>
      </c>
      <c r="B24">
        <v>367</v>
      </c>
    </row>
    <row r="25" spans="1:2" x14ac:dyDescent="0.25">
      <c r="A25">
        <v>31.5</v>
      </c>
      <c r="B25">
        <v>380</v>
      </c>
    </row>
    <row r="26" spans="1:2" x14ac:dyDescent="0.25">
      <c r="A26">
        <v>34.5</v>
      </c>
      <c r="B26">
        <v>385</v>
      </c>
    </row>
    <row r="27" spans="1:2" x14ac:dyDescent="0.25">
      <c r="A27">
        <v>37.5</v>
      </c>
      <c r="B27">
        <v>372</v>
      </c>
    </row>
    <row r="28" spans="1:2" x14ac:dyDescent="0.25">
      <c r="A28">
        <v>40.5</v>
      </c>
      <c r="B28">
        <v>393</v>
      </c>
    </row>
    <row r="29" spans="1:2" x14ac:dyDescent="0.25">
      <c r="A29">
        <v>43.5</v>
      </c>
      <c r="B29">
        <v>404</v>
      </c>
    </row>
    <row r="30" spans="1:2" x14ac:dyDescent="0.25">
      <c r="A30">
        <v>46.5</v>
      </c>
      <c r="B30">
        <v>389</v>
      </c>
    </row>
    <row r="31" spans="1:2" x14ac:dyDescent="0.25">
      <c r="A31">
        <v>49.5</v>
      </c>
      <c r="B31">
        <v>390</v>
      </c>
    </row>
    <row r="32" spans="1:2" x14ac:dyDescent="0.25">
      <c r="A32">
        <v>52.5</v>
      </c>
      <c r="B32">
        <v>357</v>
      </c>
    </row>
    <row r="33" spans="1:2" x14ac:dyDescent="0.25">
      <c r="A33">
        <v>55.5</v>
      </c>
      <c r="B33">
        <v>322</v>
      </c>
    </row>
    <row r="34" spans="1:2" x14ac:dyDescent="0.25">
      <c r="A34">
        <v>58.5</v>
      </c>
      <c r="B34">
        <v>331</v>
      </c>
    </row>
    <row r="35" spans="1:2" x14ac:dyDescent="0.25">
      <c r="A35">
        <v>61.5</v>
      </c>
      <c r="B35">
        <v>313</v>
      </c>
    </row>
    <row r="36" spans="1:2" x14ac:dyDescent="0.25">
      <c r="A36">
        <v>64.5</v>
      </c>
      <c r="B36">
        <v>303</v>
      </c>
    </row>
    <row r="37" spans="1:2" x14ac:dyDescent="0.25">
      <c r="A37">
        <v>67.5</v>
      </c>
      <c r="B37">
        <v>292</v>
      </c>
    </row>
    <row r="38" spans="1:2" x14ac:dyDescent="0.25">
      <c r="A38">
        <v>70.5</v>
      </c>
      <c r="B38">
        <v>254</v>
      </c>
    </row>
    <row r="39" spans="1:2" x14ac:dyDescent="0.25">
      <c r="A39">
        <v>73.5</v>
      </c>
      <c r="B39">
        <v>247</v>
      </c>
    </row>
    <row r="40" spans="1:2" x14ac:dyDescent="0.25">
      <c r="A40">
        <v>76.5</v>
      </c>
      <c r="B40">
        <v>206</v>
      </c>
    </row>
    <row r="41" spans="1:2" x14ac:dyDescent="0.25">
      <c r="A41">
        <v>79.5</v>
      </c>
      <c r="B41">
        <v>212</v>
      </c>
    </row>
    <row r="42" spans="1:2" x14ac:dyDescent="0.25">
      <c r="A42">
        <v>82.5</v>
      </c>
      <c r="B42">
        <v>195</v>
      </c>
    </row>
    <row r="43" spans="1:2" x14ac:dyDescent="0.25">
      <c r="A43">
        <v>85.5</v>
      </c>
      <c r="B43">
        <v>164</v>
      </c>
    </row>
    <row r="44" spans="1:2" x14ac:dyDescent="0.25">
      <c r="A44">
        <v>88.5</v>
      </c>
      <c r="B44">
        <v>163</v>
      </c>
    </row>
    <row r="45" spans="1:2" x14ac:dyDescent="0.25">
      <c r="A45">
        <v>91.5</v>
      </c>
      <c r="B45">
        <v>114</v>
      </c>
    </row>
    <row r="46" spans="1:2" x14ac:dyDescent="0.25">
      <c r="A46">
        <v>94.5</v>
      </c>
      <c r="B46">
        <v>106</v>
      </c>
    </row>
    <row r="47" spans="1:2" x14ac:dyDescent="0.25">
      <c r="A47">
        <v>97.5</v>
      </c>
      <c r="B47">
        <v>96</v>
      </c>
    </row>
    <row r="48" spans="1:2" x14ac:dyDescent="0.25">
      <c r="A48">
        <v>100.5</v>
      </c>
      <c r="B48">
        <v>73</v>
      </c>
    </row>
    <row r="49" spans="1:2" x14ac:dyDescent="0.25">
      <c r="A49">
        <v>103.5</v>
      </c>
      <c r="B49">
        <v>70</v>
      </c>
    </row>
    <row r="50" spans="1:2" x14ac:dyDescent="0.25">
      <c r="A50">
        <v>106.5</v>
      </c>
      <c r="B50">
        <v>54</v>
      </c>
    </row>
    <row r="51" spans="1:2" x14ac:dyDescent="0.25">
      <c r="A51">
        <v>109.5</v>
      </c>
      <c r="B51">
        <v>45</v>
      </c>
    </row>
    <row r="52" spans="1:2" x14ac:dyDescent="0.25">
      <c r="A52">
        <v>112.5</v>
      </c>
      <c r="B52">
        <v>34</v>
      </c>
    </row>
    <row r="53" spans="1:2" x14ac:dyDescent="0.25">
      <c r="A53">
        <v>115.5</v>
      </c>
      <c r="B53">
        <v>40</v>
      </c>
    </row>
    <row r="54" spans="1:2" x14ac:dyDescent="0.25">
      <c r="A54">
        <v>118.5</v>
      </c>
      <c r="B54">
        <v>27</v>
      </c>
    </row>
    <row r="55" spans="1:2" x14ac:dyDescent="0.25">
      <c r="A55">
        <v>121.5</v>
      </c>
      <c r="B55">
        <v>15</v>
      </c>
    </row>
    <row r="56" spans="1:2" x14ac:dyDescent="0.25">
      <c r="A56">
        <v>124.5</v>
      </c>
      <c r="B56">
        <v>17</v>
      </c>
    </row>
    <row r="57" spans="1:2" x14ac:dyDescent="0.25">
      <c r="A57">
        <v>127.5</v>
      </c>
      <c r="B57">
        <v>12</v>
      </c>
    </row>
    <row r="58" spans="1:2" x14ac:dyDescent="0.25">
      <c r="A58">
        <v>130.5</v>
      </c>
      <c r="B58">
        <v>6</v>
      </c>
    </row>
    <row r="59" spans="1:2" x14ac:dyDescent="0.25">
      <c r="A59">
        <v>133.5</v>
      </c>
      <c r="B59">
        <v>6</v>
      </c>
    </row>
    <row r="60" spans="1:2" x14ac:dyDescent="0.25">
      <c r="A60">
        <v>136.5</v>
      </c>
      <c r="B60">
        <v>6</v>
      </c>
    </row>
    <row r="61" spans="1:2" x14ac:dyDescent="0.25">
      <c r="A61">
        <v>139.5</v>
      </c>
      <c r="B61">
        <v>0</v>
      </c>
    </row>
    <row r="62" spans="1:2" x14ac:dyDescent="0.25">
      <c r="A62">
        <v>142.5</v>
      </c>
      <c r="B62">
        <v>2</v>
      </c>
    </row>
    <row r="63" spans="1:2" x14ac:dyDescent="0.25">
      <c r="A63">
        <v>145.5</v>
      </c>
      <c r="B63">
        <v>1</v>
      </c>
    </row>
    <row r="64" spans="1:2" x14ac:dyDescent="0.25">
      <c r="A64">
        <v>148.5</v>
      </c>
      <c r="B64">
        <v>2</v>
      </c>
    </row>
    <row r="65" spans="1:2" x14ac:dyDescent="0.25">
      <c r="A65">
        <v>151.5</v>
      </c>
      <c r="B65">
        <v>0</v>
      </c>
    </row>
    <row r="66" spans="1:2" x14ac:dyDescent="0.25">
      <c r="A66">
        <v>154.5</v>
      </c>
      <c r="B66">
        <v>1</v>
      </c>
    </row>
    <row r="67" spans="1:2" x14ac:dyDescent="0.25">
      <c r="A67">
        <v>157.5</v>
      </c>
      <c r="B67">
        <v>1</v>
      </c>
    </row>
    <row r="68" spans="1:2" x14ac:dyDescent="0.25">
      <c r="A68">
        <v>160.5</v>
      </c>
      <c r="B6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Main!Cland</vt:lpstr>
      <vt:lpstr>Main!COS</vt:lpstr>
      <vt:lpstr>Main!Croyal</vt:lpstr>
      <vt:lpstr>Main!Cstart</vt:lpstr>
      <vt:lpstr>Main!CTDC</vt:lpstr>
      <vt:lpstr>Main!i</vt:lpstr>
      <vt:lpstr>Main!S</vt:lpstr>
      <vt:lpstr>Main!tax</vt:lpstr>
      <vt:lpstr>Main!WC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Peshala Prabhapoorna</cp:lastModifiedBy>
  <dcterms:created xsi:type="dcterms:W3CDTF">2013-10-29T18:00:12Z</dcterms:created>
  <dcterms:modified xsi:type="dcterms:W3CDTF">2023-07-15T19:55:36Z</dcterms:modified>
</cp:coreProperties>
</file>